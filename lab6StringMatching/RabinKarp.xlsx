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Chris\cscs1240f25\"/>
    </mc:Choice>
  </mc:AlternateContent>
  <xr:revisionPtr revIDLastSave="0" documentId="13_ncr:1_{DDFFD3E2-73A0-4B34-93F7-F62ED48AEBCE}" xr6:coauthVersionLast="47" xr6:coauthVersionMax="47" xr10:uidLastSave="{00000000-0000-0000-0000-000000000000}"/>
  <bookViews>
    <workbookView xWindow="28680" yWindow="-120" windowWidth="29040" windowHeight="15840" xr2:uid="{B75875D1-EDB9-4094-A14D-7CC19230174F}"/>
  </bookViews>
  <sheets>
    <sheet name="Sheet1" sheetId="1" r:id="rId1"/>
  </sheets>
  <definedNames>
    <definedName name="nrThisMod">Sheet1!$AE$2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 a="1"/>
  <c r="I2" i="1" s="1"/>
  <c r="U2" i="1"/>
  <c r="T2" i="1"/>
  <c r="Q2" i="1" a="1"/>
  <c r="Q2" i="1" s="1"/>
  <c r="R2" i="1" s="1" a="1"/>
  <c r="R2" i="1" s="1"/>
  <c r="D2" i="1" a="1"/>
  <c r="D2" i="1" s="1"/>
  <c r="E2" i="1" s="1" a="1"/>
  <c r="E2" i="1" s="1"/>
  <c r="O2" i="1" a="1"/>
  <c r="O2" i="1" s="1"/>
  <c r="N2" i="1" s="1" a="1"/>
  <c r="N2" i="1" s="1"/>
  <c r="K2" i="1" l="1" a="1"/>
  <c r="K2" i="1" s="1"/>
  <c r="J2" i="1" a="1"/>
  <c r="J2" i="1" s="1"/>
  <c r="W2" i="1" a="1"/>
  <c r="W2" i="1" s="1"/>
  <c r="X2" i="1" s="1" a="1"/>
  <c r="X2" i="1" s="1"/>
  <c r="AA2" i="1" s="1" a="1"/>
  <c r="AA2" i="1" s="1"/>
  <c r="F2" i="1" a="1"/>
  <c r="F2" i="1" s="1"/>
  <c r="G2" i="1" l="1" a="1"/>
  <c r="G2" i="1"/>
  <c r="L2" i="1" a="1"/>
  <c r="L2" i="1"/>
  <c r="Y2" i="1" a="1"/>
  <c r="Y2" i="1"/>
  <c r="Z2" i="1" a="1"/>
  <c r="Z2" i="1"/>
  <c r="AB2" i="1" a="1"/>
  <c r="AB2" i="1"/>
  <c r="AC2" i="1" a="1"/>
  <c r="AC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<sst xmlns="http://schemas.openxmlformats.org/spreadsheetml/2006/main" count="30" uniqueCount="26">
  <si>
    <t>Text</t>
  </si>
  <si>
    <t>Char Position</t>
  </si>
  <si>
    <t>Letters</t>
  </si>
  <si>
    <t>Alphabetical Position</t>
  </si>
  <si>
    <t>Powers of Base 31</t>
  </si>
  <si>
    <t>Exponents</t>
  </si>
  <si>
    <t>Hash of text (stored as a list of class RabinKarpHash)</t>
  </si>
  <si>
    <t>Hash of Pattern, same class object</t>
  </si>
  <si>
    <t>Length of Pattern</t>
  </si>
  <si>
    <t>Length of Text</t>
  </si>
  <si>
    <t>Pattern can only be found up to index len(text) - len(pattern) + 1
L</t>
  </si>
  <si>
    <t>If a match is to be found, it would end at this character index
R</t>
  </si>
  <si>
    <t>Hash of character index R</t>
  </si>
  <si>
    <t>Hash of character index L - 1</t>
  </si>
  <si>
    <t>Base 31^len(pattern)</t>
  </si>
  <si>
    <t>Substring Hash</t>
  </si>
  <si>
    <t>If the substring Hash matches the pattern hash in the last position then it is a match</t>
  </si>
  <si>
    <t>geeksforgeeks</t>
  </si>
  <si>
    <t>geek</t>
  </si>
  <si>
    <t>Character Value</t>
  </si>
  <si>
    <t>ababdabacdababcabab</t>
  </si>
  <si>
    <t>ababcabab</t>
  </si>
  <si>
    <t>Search Text:</t>
  </si>
  <si>
    <t>Pattern:</t>
  </si>
  <si>
    <t>thisMod</t>
  </si>
  <si>
    <t>ababcababdababcabab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</si>
</sst>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4EEEC-4F2A-49EF-BB94-36B79487DF88}">
  <sheetPr codeName="Sheet1"/>
  <dimension ref="A1:IX27"/>
  <sheetViews>
    <sheetView tabSelected="1" workbookViewId="0">
      <selection activeCell="N2" sqref="N2"/>
    </sheetView>
  </sheetViews>
  <sheetFormatPr defaultRowHeight="15" x14ac:dyDescent="0.25"/>
  <cols>
    <col min="1" max="1" width="22.85546875" bestFit="1" customWidth="1"/>
    <col min="4" max="4" width="4.42578125" bestFit="1" customWidth="1"/>
    <col min="5" max="5" width="8.28515625" bestFit="1" customWidth="1"/>
    <col min="6" max="6" width="9.5703125" bestFit="1" customWidth="1"/>
    <col min="7" max="7" width="24" style="3" bestFit="1" customWidth="1"/>
    <col min="8" max="8" width="4.140625" customWidth="1"/>
    <col min="9" max="9" width="4.42578125" bestFit="1" customWidth="1"/>
    <col min="10" max="10" width="8.28515625" bestFit="1" customWidth="1"/>
    <col min="11" max="11" width="9.5703125" bestFit="1" customWidth="1"/>
    <col min="12" max="12" width="14.5703125" customWidth="1"/>
    <col min="13" max="13" width="4.42578125" customWidth="1"/>
    <col min="14" max="14" width="6.7109375" bestFit="1" customWidth="1"/>
    <col min="15" max="15" width="12.7109375" customWidth="1"/>
    <col min="16" max="16" width="5" customWidth="1"/>
    <col min="17" max="17" width="10" bestFit="1" customWidth="1"/>
    <col min="18" max="18" width="19.28515625" style="3" bestFit="1" customWidth="1"/>
    <col min="19" max="19" width="3.5703125" customWidth="1"/>
    <col min="22" max="22" width="4.140625" customWidth="1"/>
    <col min="23" max="23" width="23.42578125" customWidth="1"/>
    <col min="24" max="24" width="20.42578125" customWidth="1"/>
    <col min="25" max="25" width="15.85546875" customWidth="1"/>
    <col min="26" max="26" width="10" bestFit="1" customWidth="1"/>
    <col min="27" max="27" width="14.7109375" customWidth="1"/>
    <col min="28" max="28" width="10" bestFit="1" customWidth="1"/>
    <col min="29" max="29" width="27" customWidth="1"/>
    <col min="30" max="31" width="10" bestFit="1" customWidth="1"/>
  </cols>
  <sheetData>
    <row r="1" spans="1:258" s="1" customFormat="1" ht="60" x14ac:dyDescent="0.25">
      <c r="D1" s="1" t="s">
        <v>0</v>
      </c>
      <c r="E1" s="1" t="s">
        <v>1</v>
      </c>
      <c r="F1" s="1" t="s">
        <v>19</v>
      </c>
      <c r="G1" s="2" t="s">
        <v>6</v>
      </c>
      <c r="I1" s="1" t="s">
        <v>0</v>
      </c>
      <c r="J1" s="1" t="s">
        <v>1</v>
      </c>
      <c r="K1" s="1" t="s">
        <v>19</v>
      </c>
      <c r="L1" s="1" t="s">
        <v>7</v>
      </c>
      <c r="N1" s="1" t="s">
        <v>2</v>
      </c>
      <c r="O1" s="1" t="s">
        <v>3</v>
      </c>
      <c r="Q1" s="1" t="s">
        <v>5</v>
      </c>
      <c r="R1" s="2" t="s">
        <v>4</v>
      </c>
      <c r="T1" s="1" t="s">
        <v>8</v>
      </c>
      <c r="U1" s="1" t="s">
        <v>9</v>
      </c>
      <c r="W1" s="1" t="s">
        <v>10</v>
      </c>
      <c r="X1" s="1" t="s">
        <v>11</v>
      </c>
      <c r="Y1" s="1" t="s">
        <v>12</v>
      </c>
      <c r="Z1" s="1" t="s">
        <v>13</v>
      </c>
      <c r="AA1" s="1" t="s">
        <v>14</v>
      </c>
      <c r="AB1" s="1" t="s">
        <v>15</v>
      </c>
      <c r="AC1" s="1" t="s">
        <v>16</v>
      </c>
      <c r="AE1" s="1" t="s">
        <v>24</v>
      </c>
    </row>
    <row r="2" spans="1:258" x14ac:dyDescent="0.25">
      <c r="A2" t="s">
        <v>22</v>
      </c>
      <c r="D2" t="str" cm="1">
        <f t="array" ref="D2:D20">_xlfn.MAKEARRAY(LEN(A3), 1, _xlfn.LAMBDA(_xlpm.r,_xlpm.c, MID(A3, _xlpm.r, 1)))</f>
        <v>a</v>
      </c>
      <c r="E2" cm="1">
        <f t="array" ref="E2:E20">_xlfn.SEQUENCE(ROWS(_xlfn.ANCHORARRAY(D2)),1, 0, 1)</f>
        <v>0</v>
      </c>
      <c r="F2" cm="1">
        <f t="array" ref="F2:F20">_xlfn.XLOOKUP(_xlfn.ANCHORARRAY(D2),_xlfn.ANCHORARRAY( N2),_xlfn.ANCHORARRAY( O2))</f>
        <v>1</v>
      </c>
      <c r="G2" s="3" cm="1">
        <f t="array" aca="1" ref="G2:G20" ca="1">_xlfn.LET(
_xlpm.charPos,_xlfn.ANCHORARRAY( E2),
_xlpm.charVal,_xlfn.ANCHORARRAY( F2),
IF(_xlpm.charPos = 0, _xlpm.charVal, MOD(OFFSET(_xlpm.charVal, -1, 1) * 31 + _xlpm.charVal, nrThisMod)))</f>
        <v>1</v>
      </c>
      <c r="I2" t="str" cm="1">
        <f t="array" ref="I2:I10">_xlfn.MAKEARRAY(LEN(A6), 1, _xlfn.LAMBDA(_xlpm.r,_xlpm.c, MID(A6, _xlpm.r, 1)))</f>
        <v>a</v>
      </c>
      <c r="J2" cm="1">
        <f t="array" ref="J2:J10">_xlfn.SEQUENCE(ROWS(_xlfn.ANCHORARRAY(I2)),1, 0, 1)</f>
        <v>0</v>
      </c>
      <c r="K2" cm="1">
        <f t="array" ref="K2:K10">_xlfn.XLOOKUP(_xlfn.ANCHORARRAY(I2),_xlfn.ANCHORARRAY( N2),_xlfn.ANCHORARRAY( O2))</f>
        <v>1</v>
      </c>
      <c r="L2" cm="1">
        <f t="array" aca="1" ref="L2:L10" ca="1">_xlfn.LET(
_xlpm.charPos,_xlfn.ANCHORARRAY( J2),
_xlpm.charVal,_xlfn.ANCHORARRAY( K2),
IF(_xlpm.charPos = 0, _xlpm.charVal, MOD(OFFSET(_xlpm.charVal, -1, 1) * 31 + _xlpm.charVal, nrThisMod)))</f>
        <v>1</v>
      </c>
      <c r="N2" t="str" cm="1">
        <f t="array" ref="N2:N27">CHAR(_xlfn.ANCHORARRAY(O2)+96)</f>
        <v>a</v>
      </c>
      <c r="O2" cm="1">
        <f t="array" ref="O2:O27">_xlfn.SEQUENCE(26,1,1,1)</f>
        <v>1</v>
      </c>
      <c r="Q2" cm="1">
        <f t="array" ref="Q2:Q11">_xlfn.SEQUENCE(LEN(A6) + 1, 1, 0, 1)</f>
        <v>0</v>
      </c>
      <c r="R2" s="3" cm="1">
        <f t="array" ref="R2:R11">31^_xlfn.ANCHORARRAY(Q2)</f>
        <v>1</v>
      </c>
      <c r="T2">
        <f>LEN(A6)</f>
        <v>9</v>
      </c>
      <c r="U2">
        <f>LEN(A3)</f>
        <v>19</v>
      </c>
      <c r="W2" cm="1">
        <f t="array" ref="W2:W12">_xlfn.SEQUENCE(U2-T2+1,1,0,1)</f>
        <v>0</v>
      </c>
      <c r="X2" cm="1">
        <f t="array" ref="X2:X12">_xlfn.ANCHORARRAY(W2)+T2-1</f>
        <v>8</v>
      </c>
      <c r="Y2" cm="1">
        <f t="array" aca="1" ref="Y2:Y12" ca="1">_xlfn.XLOOKUP(_xlfn.ANCHORARRAY(X2),_xlfn.ANCHORARRAY( $E$2),_xlfn.ANCHORARRAY( $G$2))</f>
        <v>4647929</v>
      </c>
      <c r="Z2" t="e" cm="1">
        <f t="array" aca="1" ref="Z2:Z12" ca="1">_xlfn.XLOOKUP(_xlfn.ANCHORARRAY(W2) - 1,_xlfn.ANCHORARRAY( $E$2),_xlfn.ANCHORARRAY( $G$2))</f>
        <v>#N/A</v>
      </c>
      <c r="AA2" cm="1">
        <f t="array" ref="AA2:AA12">MOD(_xlfn.XLOOKUP(_xlfn.ANCHORARRAY(X2)-_xlfn.ANCHORARRAY(W2)+1,_xlfn.ANCHORARRAY( $Q$2),_xlfn.ANCHORARRAY( $R$2)), nrThisMod)</f>
        <v>5956347</v>
      </c>
      <c r="AB2" cm="1">
        <f t="array" aca="1" ref="AB2:AB12" ca="1">IF(_xlfn.ANCHORARRAY(W2) = 0,_xlfn.ANCHORARRAY( Y2),
_xlfn.LET(
_xlpm.thisMod, nrThisMod,
_xlpm.modR, MOD(_xlfn.ANCHORARRAY(Y2), _xlpm.thisMod),
_xlpm.modSubL, MOD(_xlfn.ANCHORARRAY(Z2), _xlpm.thisMod),
_xlpm.modExp,_xlfn.ANCHORARRAY( AA2),
_xlpm.firstMod, MOD(_xlpm.modR - _xlpm.modSubL * _xlpm.modExp, _xlpm.thisMod),
MOD(_xlpm.firstMod, _xlpm.thisMod)))</f>
        <v>4647929</v>
      </c>
      <c r="AC2" t="str" cm="1">
        <f t="array" aca="1" ref="AC2:AC12" ca="1">IF(_xlfn.ANCHORARRAY(AB2) = INDEX(_xlfn.ANCHORARRAY(L2), ROWS(_xlfn.ANCHORARRAY(L2)), 1), "Match", "")</f>
        <v>Match</v>
      </c>
      <c r="AE2">
        <v>9999991</v>
      </c>
    </row>
    <row r="3" spans="1:258" x14ac:dyDescent="0.25">
      <c r="A3" t="s">
        <v>25</v>
      </c>
      <c r="D3" t="str">
        <v>b</v>
      </c>
      <c r="E3">
        <v>1</v>
      </c>
      <c r="F3">
        <v>2</v>
      </c>
      <c r="G3" s="3">
        <f ca="1"/>
        <v>33</v>
      </c>
      <c r="I3" t="str">
        <v>b</v>
      </c>
      <c r="J3">
        <v>1</v>
      </c>
      <c r="K3">
        <v>2</v>
      </c>
      <c r="L3">
        <f ca="1"/>
        <v>33</v>
      </c>
      <c r="N3" t="str">
        <v>b</v>
      </c>
      <c r="O3">
        <v>2</v>
      </c>
      <c r="Q3">
        <v>1</v>
      </c>
      <c r="R3" s="3">
        <v>31</v>
      </c>
      <c r="W3">
        <v>1</v>
      </c>
      <c r="X3">
        <v>9</v>
      </c>
      <c r="Y3">
        <f ca="1"/>
        <v>4085929</v>
      </c>
      <c r="Z3">
        <f ca="1"/>
        <v>1</v>
      </c>
      <c r="AA3">
        <v>5956347</v>
      </c>
      <c r="AB3">
        <f ca="1"/>
        <v>8129573</v>
      </c>
      <c r="AC3" t="str">
        <f ca="1"/>
        <v/>
      </c>
    </row>
    <row r="4" spans="1:258" x14ac:dyDescent="0.25">
      <c r="D4" t="str">
        <v>a</v>
      </c>
      <c r="E4">
        <v>2</v>
      </c>
      <c r="F4">
        <v>1</v>
      </c>
      <c r="G4" s="3">
        <f ca="1"/>
        <v>1024</v>
      </c>
      <c r="I4" t="str">
        <v>a</v>
      </c>
      <c r="J4">
        <v>2</v>
      </c>
      <c r="K4">
        <v>1</v>
      </c>
      <c r="L4">
        <f ca="1"/>
        <v>1024</v>
      </c>
      <c r="N4" t="str">
        <v>c</v>
      </c>
      <c r="O4">
        <v>3</v>
      </c>
      <c r="Q4">
        <v>2</v>
      </c>
      <c r="R4" s="3">
        <v>961</v>
      </c>
      <c r="W4">
        <v>2</v>
      </c>
      <c r="X4">
        <v>10</v>
      </c>
      <c r="Y4">
        <f ca="1"/>
        <v>6663908</v>
      </c>
      <c r="Z4">
        <f ca="1"/>
        <v>33</v>
      </c>
      <c r="AA4">
        <v>5956347</v>
      </c>
      <c r="AB4">
        <f ca="1"/>
        <v>104286</v>
      </c>
      <c r="AC4" t="str">
        <f ca="1"/>
        <v/>
      </c>
      <c r="IX4">
        <v>7</v>
      </c>
    </row>
    <row r="5" spans="1:258" x14ac:dyDescent="0.25">
      <c r="A5" t="s">
        <v>23</v>
      </c>
      <c r="D5" t="str">
        <v>b</v>
      </c>
      <c r="E5">
        <v>3</v>
      </c>
      <c r="F5">
        <v>2</v>
      </c>
      <c r="G5" s="3">
        <f ca="1"/>
        <v>31746</v>
      </c>
      <c r="I5" t="str">
        <v>b</v>
      </c>
      <c r="J5">
        <v>3</v>
      </c>
      <c r="K5">
        <v>2</v>
      </c>
      <c r="L5">
        <f ca="1"/>
        <v>31746</v>
      </c>
      <c r="N5" t="str">
        <v>d</v>
      </c>
      <c r="O5">
        <v>4</v>
      </c>
      <c r="Q5">
        <v>3</v>
      </c>
      <c r="R5" s="3">
        <v>29791</v>
      </c>
      <c r="W5">
        <v>3</v>
      </c>
      <c r="X5">
        <v>11</v>
      </c>
      <c r="Y5">
        <f ca="1"/>
        <v>6581330</v>
      </c>
      <c r="Z5">
        <f ca="1"/>
        <v>1024</v>
      </c>
      <c r="AA5">
        <v>5956347</v>
      </c>
      <c r="AB5">
        <f ca="1"/>
        <v>7276512</v>
      </c>
      <c r="AC5" t="str">
        <f ca="1"/>
        <v/>
      </c>
    </row>
    <row r="6" spans="1:258" x14ac:dyDescent="0.25">
      <c r="A6" t="s">
        <v>21</v>
      </c>
      <c r="D6" t="str">
        <v>c</v>
      </c>
      <c r="E6">
        <v>4</v>
      </c>
      <c r="F6">
        <v>3</v>
      </c>
      <c r="G6" s="3">
        <f ca="1"/>
        <v>984129</v>
      </c>
      <c r="I6" t="str">
        <v>c</v>
      </c>
      <c r="J6">
        <v>4</v>
      </c>
      <c r="K6">
        <v>3</v>
      </c>
      <c r="L6">
        <f ca="1"/>
        <v>984129</v>
      </c>
      <c r="N6" t="str">
        <v>e</v>
      </c>
      <c r="O6">
        <v>5</v>
      </c>
      <c r="Q6">
        <v>4</v>
      </c>
      <c r="R6" s="3">
        <v>923521</v>
      </c>
      <c r="W6">
        <v>4</v>
      </c>
      <c r="X6">
        <v>12</v>
      </c>
      <c r="Y6">
        <f ca="1"/>
        <v>4021411</v>
      </c>
      <c r="Z6">
        <f ca="1"/>
        <v>31746</v>
      </c>
      <c r="AA6">
        <v>5956347</v>
      </c>
      <c r="AB6">
        <f ca="1"/>
        <v>3659368</v>
      </c>
      <c r="AC6" t="str">
        <f ca="1"/>
        <v/>
      </c>
    </row>
    <row r="7" spans="1:258" x14ac:dyDescent="0.25">
      <c r="D7" t="str">
        <v>a</v>
      </c>
      <c r="E7">
        <v>5</v>
      </c>
      <c r="F7">
        <v>1</v>
      </c>
      <c r="G7" s="3">
        <f ca="1"/>
        <v>508027</v>
      </c>
      <c r="I7" t="str">
        <v>a</v>
      </c>
      <c r="J7">
        <v>5</v>
      </c>
      <c r="K7">
        <v>1</v>
      </c>
      <c r="L7">
        <f ca="1"/>
        <v>508027</v>
      </c>
      <c r="N7" t="str">
        <v>f</v>
      </c>
      <c r="O7">
        <v>6</v>
      </c>
      <c r="Q7">
        <v>5</v>
      </c>
      <c r="R7" s="3">
        <v>28629151</v>
      </c>
      <c r="W7">
        <v>5</v>
      </c>
      <c r="X7">
        <v>13</v>
      </c>
      <c r="Y7">
        <f ca="1"/>
        <v>4663851</v>
      </c>
      <c r="Z7">
        <f ca="1"/>
        <v>984129</v>
      </c>
      <c r="AA7">
        <v>5956347</v>
      </c>
      <c r="AB7">
        <f ca="1"/>
        <v>5571450</v>
      </c>
      <c r="AC7" t="str">
        <f ca="1"/>
        <v/>
      </c>
    </row>
    <row r="8" spans="1:258" x14ac:dyDescent="0.25">
      <c r="D8" t="str">
        <v>b</v>
      </c>
      <c r="E8">
        <v>6</v>
      </c>
      <c r="F8">
        <v>2</v>
      </c>
      <c r="G8" s="3">
        <f ca="1"/>
        <v>5748848</v>
      </c>
      <c r="I8" t="str">
        <v>b</v>
      </c>
      <c r="J8">
        <v>6</v>
      </c>
      <c r="K8">
        <v>2</v>
      </c>
      <c r="L8">
        <f ca="1"/>
        <v>5748848</v>
      </c>
      <c r="N8" t="str">
        <v>g</v>
      </c>
      <c r="O8">
        <v>7</v>
      </c>
      <c r="Q8">
        <v>6</v>
      </c>
      <c r="R8" s="3">
        <v>887503681</v>
      </c>
      <c r="W8">
        <v>6</v>
      </c>
      <c r="X8">
        <v>14</v>
      </c>
      <c r="Y8">
        <f ca="1"/>
        <v>4579510</v>
      </c>
      <c r="Z8">
        <f ca="1"/>
        <v>508027</v>
      </c>
      <c r="AA8">
        <v>5956347</v>
      </c>
      <c r="AB8">
        <f ca="1"/>
        <v>6758750</v>
      </c>
      <c r="AC8" t="str">
        <f ca="1"/>
        <v/>
      </c>
    </row>
    <row r="9" spans="1:258" x14ac:dyDescent="0.25">
      <c r="A9" t="s">
        <v>17</v>
      </c>
      <c r="D9" t="str">
        <v>a</v>
      </c>
      <c r="E9">
        <v>7</v>
      </c>
      <c r="F9">
        <v>1</v>
      </c>
      <c r="G9" s="3">
        <f ca="1"/>
        <v>8214442</v>
      </c>
      <c r="I9" t="str">
        <v>a</v>
      </c>
      <c r="J9">
        <v>7</v>
      </c>
      <c r="K9">
        <v>1</v>
      </c>
      <c r="L9">
        <f ca="1"/>
        <v>8214442</v>
      </c>
      <c r="N9" t="str">
        <v>h</v>
      </c>
      <c r="O9">
        <v>8</v>
      </c>
      <c r="Q9">
        <v>7</v>
      </c>
      <c r="R9" s="3">
        <v>27512614111</v>
      </c>
      <c r="W9">
        <v>7</v>
      </c>
      <c r="X9">
        <v>15</v>
      </c>
      <c r="Y9">
        <f ca="1"/>
        <v>1964937</v>
      </c>
      <c r="Z9">
        <f ca="1"/>
        <v>5748848</v>
      </c>
      <c r="AA9">
        <v>5956347</v>
      </c>
      <c r="AB9">
        <f ca="1"/>
        <v>7608728</v>
      </c>
      <c r="AC9" t="str">
        <f ca="1"/>
        <v/>
      </c>
    </row>
    <row r="10" spans="1:258" x14ac:dyDescent="0.25">
      <c r="A10" t="s">
        <v>18</v>
      </c>
      <c r="D10" t="str">
        <v>b</v>
      </c>
      <c r="E10">
        <v>8</v>
      </c>
      <c r="F10">
        <v>2</v>
      </c>
      <c r="G10" s="3">
        <f ca="1"/>
        <v>4647929</v>
      </c>
      <c r="I10" t="str">
        <v>b</v>
      </c>
      <c r="J10">
        <v>8</v>
      </c>
      <c r="K10">
        <v>2</v>
      </c>
      <c r="L10">
        <f ca="1"/>
        <v>4647929</v>
      </c>
      <c r="N10" t="str">
        <v>i</v>
      </c>
      <c r="O10">
        <v>9</v>
      </c>
      <c r="Q10">
        <v>8</v>
      </c>
      <c r="R10" s="3">
        <v>852891037441</v>
      </c>
      <c r="W10">
        <v>8</v>
      </c>
      <c r="X10">
        <v>16</v>
      </c>
      <c r="Y10">
        <f ca="1"/>
        <v>913103</v>
      </c>
      <c r="Z10">
        <f ca="1"/>
        <v>8214442</v>
      </c>
      <c r="AA10">
        <v>5956347</v>
      </c>
      <c r="AB10">
        <f ca="1"/>
        <v>9914421</v>
      </c>
      <c r="AC10" t="str">
        <f ca="1"/>
        <v/>
      </c>
    </row>
    <row r="11" spans="1:258" x14ac:dyDescent="0.25">
      <c r="D11" t="str">
        <v>d</v>
      </c>
      <c r="E11">
        <v>9</v>
      </c>
      <c r="F11">
        <v>4</v>
      </c>
      <c r="G11" s="3">
        <f ca="1"/>
        <v>4085929</v>
      </c>
      <c r="N11" t="str">
        <v>j</v>
      </c>
      <c r="O11">
        <v>10</v>
      </c>
      <c r="Q11">
        <v>9</v>
      </c>
      <c r="R11" s="3">
        <v>26439622160671</v>
      </c>
      <c r="W11">
        <v>9</v>
      </c>
      <c r="X11">
        <v>17</v>
      </c>
      <c r="Y11">
        <f ca="1"/>
        <v>8306212</v>
      </c>
      <c r="Z11">
        <f ca="1"/>
        <v>4647929</v>
      </c>
      <c r="AA11">
        <v>5956347</v>
      </c>
      <c r="AB11">
        <f ca="1"/>
        <v>5434619</v>
      </c>
      <c r="AC11" t="str">
        <f ca="1"/>
        <v/>
      </c>
    </row>
    <row r="12" spans="1:258" x14ac:dyDescent="0.25">
      <c r="A12" t="s">
        <v>20</v>
      </c>
      <c r="D12" t="str">
        <v>a</v>
      </c>
      <c r="E12">
        <v>10</v>
      </c>
      <c r="F12">
        <v>1</v>
      </c>
      <c r="G12" s="3">
        <f ca="1"/>
        <v>6663908</v>
      </c>
      <c r="N12" t="str">
        <v>k</v>
      </c>
      <c r="O12">
        <v>11</v>
      </c>
      <c r="W12">
        <v>10</v>
      </c>
      <c r="X12">
        <v>18</v>
      </c>
      <c r="Y12">
        <f ca="1"/>
        <v>7492799</v>
      </c>
      <c r="Z12">
        <f ca="1"/>
        <v>4085929</v>
      </c>
      <c r="AA12">
        <v>5956347</v>
      </c>
      <c r="AB12">
        <f ca="1"/>
        <v>4647929</v>
      </c>
      <c r="AC12" t="str">
        <f ca="1"/>
        <v>Match</v>
      </c>
    </row>
    <row r="13" spans="1:258" x14ac:dyDescent="0.25">
      <c r="A13" t="s">
        <v>21</v>
      </c>
      <c r="D13" t="str">
        <v>b</v>
      </c>
      <c r="E13">
        <v>11</v>
      </c>
      <c r="F13">
        <v>2</v>
      </c>
      <c r="G13" s="3">
        <f ca="1"/>
        <v>6581330</v>
      </c>
      <c r="N13" t="str">
        <v>l</v>
      </c>
      <c r="O13">
        <v>12</v>
      </c>
    </row>
    <row r="14" spans="1:258" x14ac:dyDescent="0.25">
      <c r="D14" t="str">
        <v>a</v>
      </c>
      <c r="E14">
        <v>12</v>
      </c>
      <c r="F14">
        <v>1</v>
      </c>
      <c r="G14" s="3">
        <f ca="1"/>
        <v>4021411</v>
      </c>
      <c r="N14" t="str">
        <v>m</v>
      </c>
      <c r="O14">
        <v>13</v>
      </c>
    </row>
    <row r="15" spans="1:258" x14ac:dyDescent="0.25">
      <c r="D15" t="str">
        <v>b</v>
      </c>
      <c r="E15">
        <v>13</v>
      </c>
      <c r="F15">
        <v>2</v>
      </c>
      <c r="G15" s="3">
        <f ca="1"/>
        <v>4663851</v>
      </c>
      <c r="N15" t="str">
        <v>n</v>
      </c>
      <c r="O15">
        <v>14</v>
      </c>
    </row>
    <row r="16" spans="1:258" x14ac:dyDescent="0.25">
      <c r="D16" t="str">
        <v>c</v>
      </c>
      <c r="E16">
        <v>14</v>
      </c>
      <c r="F16">
        <v>3</v>
      </c>
      <c r="G16" s="3">
        <f ca="1"/>
        <v>4579510</v>
      </c>
      <c r="N16" t="str">
        <v>o</v>
      </c>
      <c r="O16">
        <v>15</v>
      </c>
    </row>
    <row r="17" spans="4:15" x14ac:dyDescent="0.25">
      <c r="D17" t="str">
        <v>a</v>
      </c>
      <c r="E17">
        <v>15</v>
      </c>
      <c r="F17">
        <v>1</v>
      </c>
      <c r="G17" s="3">
        <f ca="1"/>
        <v>1964937</v>
      </c>
      <c r="N17" t="str">
        <v>p</v>
      </c>
      <c r="O17">
        <v>16</v>
      </c>
    </row>
    <row r="18" spans="4:15" x14ac:dyDescent="0.25">
      <c r="D18" t="str">
        <v>b</v>
      </c>
      <c r="E18">
        <v>16</v>
      </c>
      <c r="F18">
        <v>2</v>
      </c>
      <c r="G18" s="3">
        <f ca="1"/>
        <v>913103</v>
      </c>
      <c r="N18" t="str">
        <v>q</v>
      </c>
      <c r="O18">
        <v>17</v>
      </c>
    </row>
    <row r="19" spans="4:15" x14ac:dyDescent="0.25">
      <c r="D19" t="str">
        <v>a</v>
      </c>
      <c r="E19">
        <v>17</v>
      </c>
      <c r="F19">
        <v>1</v>
      </c>
      <c r="G19" s="3">
        <f ca="1"/>
        <v>8306212</v>
      </c>
      <c r="N19" t="str">
        <v>r</v>
      </c>
      <c r="O19">
        <v>18</v>
      </c>
    </row>
    <row r="20" spans="4:15" x14ac:dyDescent="0.25">
      <c r="D20" t="str">
        <v>b</v>
      </c>
      <c r="E20">
        <v>18</v>
      </c>
      <c r="F20">
        <v>2</v>
      </c>
      <c r="G20" s="3">
        <f ca="1"/>
        <v>7492799</v>
      </c>
      <c r="N20" t="str">
        <v>s</v>
      </c>
      <c r="O20">
        <v>19</v>
      </c>
    </row>
    <row r="21" spans="4:15" x14ac:dyDescent="0.25">
      <c r="N21" t="str">
        <v>t</v>
      </c>
      <c r="O21">
        <v>20</v>
      </c>
    </row>
    <row r="22" spans="4:15" x14ac:dyDescent="0.25">
      <c r="N22" t="str">
        <v>u</v>
      </c>
      <c r="O22">
        <v>21</v>
      </c>
    </row>
    <row r="23" spans="4:15" x14ac:dyDescent="0.25">
      <c r="N23" t="str">
        <v>v</v>
      </c>
      <c r="O23">
        <v>22</v>
      </c>
    </row>
    <row r="24" spans="4:15" x14ac:dyDescent="0.25">
      <c r="N24" t="str">
        <v>w</v>
      </c>
      <c r="O24">
        <v>23</v>
      </c>
    </row>
    <row r="25" spans="4:15" x14ac:dyDescent="0.25">
      <c r="N25" t="str">
        <v>x</v>
      </c>
      <c r="O25">
        <v>24</v>
      </c>
    </row>
    <row r="26" spans="4:15" x14ac:dyDescent="0.25">
      <c r="N26" t="str">
        <v>y</v>
      </c>
      <c r="O26">
        <v>25</v>
      </c>
    </row>
    <row r="27" spans="4:15" x14ac:dyDescent="0.25">
      <c r="N27" t="str">
        <v>z</v>
      </c>
      <c r="O27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nrThisMod</vt:lpstr>
    </vt:vector>
  </TitlesOfParts>
  <Company>SUNY Geneseo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Gieselman</dc:creator>
  <cp:lastModifiedBy>Chris Gieselman</cp:lastModifiedBy>
  <dcterms:created xsi:type="dcterms:W3CDTF">2025-10-03T02:14:16Z</dcterms:created>
  <dcterms:modified xsi:type="dcterms:W3CDTF">2025-10-03T05:41:29Z</dcterms:modified>
</cp:coreProperties>
</file>