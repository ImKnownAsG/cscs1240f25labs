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hris\cscs1240f25\"/>
    </mc:Choice>
  </mc:AlternateContent>
  <xr:revisionPtr revIDLastSave="0" documentId="13_ncr:1_{27F45F03-80A3-4BC3-8F30-436AC0B3F5BD}" xr6:coauthVersionLast="47" xr6:coauthVersionMax="47" xr10:uidLastSave="{00000000-0000-0000-0000-000000000000}"/>
  <bookViews>
    <workbookView xWindow="28680" yWindow="-120" windowWidth="29040" windowHeight="15840" xr2:uid="{B75875D1-EDB9-4094-A14D-7CC19230174F}"/>
    <workbookView xWindow="-120" yWindow="-120" windowWidth="29040" windowHeight="15840" xr2:uid="{20DDD791-A46B-47B1-A50F-41DD675CA864}"/>
  </bookViews>
  <sheets>
    <sheet name="Sheet1" sheetId="1" r:id="rId1"/>
  </sheets>
  <functionGroups builtInGroupCount="19"/>
  <definedNames>
    <definedName name="_xlpm.c" hidden="1" xlm="1">#NAME?</definedName>
    <definedName name="_xlpm.charVal" hidden="1" xlm="1">#NAME?</definedName>
    <definedName name="_xlpm.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s="1"/>
  <c r="C2" i="1" s="1" a="1"/>
  <c r="C2" i="1" s="1"/>
  <c r="R2" i="1" a="1"/>
  <c r="R2" i="1" s="1"/>
  <c r="S2" i="1" s="1" a="1"/>
  <c r="S2" i="1" s="1"/>
  <c r="M14" i="1"/>
  <c r="M13" i="1"/>
  <c r="M12" i="1"/>
  <c r="M11" i="1"/>
  <c r="M10" i="1"/>
  <c r="M9" i="1"/>
  <c r="M8" i="1"/>
  <c r="M7" i="1"/>
  <c r="M6" i="1"/>
  <c r="M5" i="1"/>
  <c r="M4" i="1"/>
  <c r="M3" i="1"/>
  <c r="J2" i="1" a="1"/>
  <c r="J2" i="1" s="1"/>
  <c r="I2" i="1" s="1" a="1"/>
  <c r="I2" i="1" s="1"/>
  <c r="E2" i="1" a="1"/>
  <c r="E2" i="1" l="1"/>
  <c r="D2" i="1" a="1"/>
  <c r="D2" i="1" s="1"/>
  <c r="V2" i="1" a="1"/>
  <c r="V2" i="1" s="1"/>
  <c r="G4" i="1" l="1" a="1"/>
  <c r="G4" i="1" s="1"/>
  <c r="G5" i="1" a="1"/>
  <c r="G5" i="1" s="1"/>
  <c r="T2" i="1" a="1"/>
  <c r="T2" i="1" s="1"/>
  <c r="U2" i="1" a="1"/>
  <c r="U2" i="1" s="1"/>
  <c r="G2" i="1" a="1"/>
  <c r="G2" i="1" s="1"/>
  <c r="G3" i="1" a="1"/>
  <c r="G3" i="1" s="1"/>
  <c r="W2" i="1" l="1" a="1"/>
  <c r="W2" i="1" s="1"/>
  <c r="X2" i="1" s="1" a="1"/>
  <c r="X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<sst xmlns="http://schemas.openxmlformats.org/spreadsheetml/2006/main" count="20" uniqueCount="20">
  <si>
    <t>Text</t>
  </si>
  <si>
    <t>Char Position</t>
  </si>
  <si>
    <t>Letters</t>
  </si>
  <si>
    <t>Alphabetical Position</t>
  </si>
  <si>
    <t>Powers of Base 31</t>
  </si>
  <si>
    <t>Exponents</t>
  </si>
  <si>
    <t>Hash of text (stored as a list of class RabinKarpHash)</t>
  </si>
  <si>
    <t>Hash of Pattern, same class object</t>
  </si>
  <si>
    <t>Length of Pattern</t>
  </si>
  <si>
    <t>Length of Text</t>
  </si>
  <si>
    <t>Pattern can only be found up to index len(text) - len(pattern) + 1
L</t>
  </si>
  <si>
    <t>If a match is to be found, it would end at this character index
R</t>
  </si>
  <si>
    <t>Hash of character index R</t>
  </si>
  <si>
    <t>Hash of character index L - 1</t>
  </si>
  <si>
    <t>Base 31^len(pattern)</t>
  </si>
  <si>
    <t>Substring Hash</t>
  </si>
  <si>
    <t>If the substring Hash matches the pattern hash in the last position then it is a match</t>
  </si>
  <si>
    <t>geeksforgeeks</t>
  </si>
  <si>
    <t>geek</t>
  </si>
  <si>
    <t>Character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</si>
</sst>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1" fontId="0" fillId="0" borderId="0" xfId="0" applyNumberFormat="1" applyAlignment="1">
      <alignment wrapText="1"/>
    </xf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4EEEC-4F2A-49EF-BB94-36B79487DF88}">
  <sheetPr codeName="Sheet1"/>
  <dimension ref="B1:IV27"/>
  <sheetViews>
    <sheetView tabSelected="1" workbookViewId="0">
      <selection activeCell="E2" sqref="E2"/>
    </sheetView>
    <sheetView tabSelected="1" topLeftCell="IE1" workbookViewId="1">
      <selection activeCell="IU1" sqref="IU1"/>
    </sheetView>
  </sheetViews>
  <sheetFormatPr defaultRowHeight="15" x14ac:dyDescent="0.25"/>
  <cols>
    <col min="3" max="3" width="12.85546875" bestFit="1" customWidth="1"/>
    <col min="4" max="4" width="12.85546875" customWidth="1"/>
    <col min="5" max="5" width="24" style="3" bestFit="1" customWidth="1"/>
    <col min="6" max="6" width="19" customWidth="1"/>
    <col min="7" max="7" width="14.5703125" customWidth="1"/>
    <col min="10" max="10" width="12.7109375" customWidth="1"/>
    <col min="12" max="13" width="10" bestFit="1" customWidth="1"/>
    <col min="17" max="17" width="10" bestFit="1" customWidth="1"/>
    <col min="18" max="18" width="23.42578125" customWidth="1"/>
    <col min="19" max="19" width="20.42578125" customWidth="1"/>
    <col min="20" max="20" width="15.85546875" customWidth="1"/>
    <col min="21" max="21" width="10" bestFit="1" customWidth="1"/>
    <col min="22" max="22" width="14.7109375" bestFit="1" customWidth="1"/>
    <col min="24" max="24" width="27" customWidth="1"/>
  </cols>
  <sheetData>
    <row r="1" spans="2:256" ht="60" x14ac:dyDescent="0.25">
      <c r="B1" t="s">
        <v>0</v>
      </c>
      <c r="C1" t="s">
        <v>1</v>
      </c>
      <c r="D1" t="s">
        <v>19</v>
      </c>
      <c r="E1" s="2" t="s">
        <v>6</v>
      </c>
      <c r="F1" s="1"/>
      <c r="G1" s="1" t="s">
        <v>7</v>
      </c>
      <c r="I1" t="s">
        <v>2</v>
      </c>
      <c r="J1" s="1" t="s">
        <v>3</v>
      </c>
      <c r="L1" t="s">
        <v>5</v>
      </c>
      <c r="M1" s="1" t="s">
        <v>4</v>
      </c>
      <c r="O1" s="1" t="s">
        <v>8</v>
      </c>
      <c r="P1" s="1" t="s">
        <v>9</v>
      </c>
      <c r="R1" s="1" t="s">
        <v>10</v>
      </c>
      <c r="S1" s="1" t="s">
        <v>11</v>
      </c>
      <c r="T1" s="1" t="s">
        <v>12</v>
      </c>
      <c r="U1" s="1" t="s">
        <v>13</v>
      </c>
      <c r="V1" s="1" t="s">
        <v>14</v>
      </c>
      <c r="W1" s="1" t="s">
        <v>15</v>
      </c>
      <c r="X1" s="1" t="s">
        <v>16</v>
      </c>
    </row>
    <row r="2" spans="2:256" x14ac:dyDescent="0.25">
      <c r="B2" t="str" cm="1">
        <f t="array" ref="B2:B14">_xlfn.MAKEARRAY(LEN(B20), 1, _xlfn.LAMBDA(_xlpm.r,_xlpm.c, MID(B20, _xlpm.r, 1)))</f>
        <v>g</v>
      </c>
      <c r="C2" cm="1">
        <f t="array" ref="C2:C14">_xlfn.SEQUENCE(ROWS(_xlfn.ANCHORARRAY(B2)),1, 0, 1)</f>
        <v>0</v>
      </c>
      <c r="D2" cm="1">
        <f t="array" ref="D2:D14">_xlfn.XLOOKUP(_xlfn.ANCHORARRAY(B2),_xlfn.ANCHORARRAY( I2),_xlfn.ANCHORARRAY( J2))</f>
        <v>7</v>
      </c>
      <c r="E2" s="3" t="e" cm="1">
        <f t="array" ref="E2">TRANSPOSE(genhash(_xlfn.ANCHORARRAY(C2),_xlfn.ANCHORARRAY( D2)))</f>
        <v>#VALUE!</v>
      </c>
      <c r="G2" t="e" cm="1">
        <f t="array" ref="G2">_xlfn.TAKE(_xlfn.ANCHORARRAY(E2), LEN(B21))</f>
        <v>#VALUE!</v>
      </c>
      <c r="I2" t="str" cm="1">
        <f t="array" ref="I2:I27">CHAR(_xlfn.ANCHORARRAY(J2)+96)</f>
        <v>a</v>
      </c>
      <c r="J2" cm="1">
        <f t="array" ref="J2:J27">_xlfn.SEQUENCE(26,1,1,1)</f>
        <v>1</v>
      </c>
      <c r="L2">
        <v>0</v>
      </c>
      <c r="M2">
        <v>1</v>
      </c>
      <c r="O2">
        <v>4</v>
      </c>
      <c r="P2">
        <v>13</v>
      </c>
      <c r="R2" cm="1">
        <f t="array" ref="R2:R11">_xlfn.SEQUENCE(P2-O2+1,1,0,1)</f>
        <v>0</v>
      </c>
      <c r="S2" cm="1">
        <f t="array" ref="S2:S11">_xlfn.ANCHORARRAY(R2)+O2-1</f>
        <v>3</v>
      </c>
      <c r="T2" cm="1">
        <f t="array" ref="T2:T11">_xlfn.XLOOKUP(_xlfn.ANCHORARRAY(S2), $C$2:$C$14, $E$2:$E$14)</f>
        <v>0</v>
      </c>
      <c r="U2" t="e" cm="1">
        <f t="array" ref="U2:U11">_xlfn.XLOOKUP(_xlfn.ANCHORARRAY(R2) - 1, $C$2:$C$14, $E$2:$E$14)</f>
        <v>#N/A</v>
      </c>
      <c r="V2" cm="1">
        <f t="array" ref="V2:V11">_xlfn.XLOOKUP(_xlfn.ANCHORARRAY(S2)-_xlfn.ANCHORARRAY(R2)+1, $L$2:$L$14, $M$2:$M$14)</f>
        <v>923521</v>
      </c>
      <c r="W2" cm="1">
        <f t="array" ref="W2:W11">IF(_xlfn.ANCHORARRAY(R2) = 0,_xlfn.ANCHORARRAY( T2), MOD(_xlfn.ANCHORARRAY(T2)-_xlfn.ANCHORARRAY(U2)*_xlfn.ANCHORARRAY(V2), 10^9+7))</f>
        <v>0</v>
      </c>
      <c r="X2" t="str" cm="1">
        <f t="array" ref="X2:X11">IF(_xlfn.ANCHORARRAY(W2) = G5, "Match", "")</f>
        <v/>
      </c>
    </row>
    <row r="3" spans="2:256" x14ac:dyDescent="0.25">
      <c r="B3" t="str">
        <v>e</v>
      </c>
      <c r="C3">
        <v>1</v>
      </c>
      <c r="D3">
        <v>5</v>
      </c>
      <c r="G3" t="e" cm="1">
        <f t="array" ref="G3">_xlfn.LET(
_xlpm.charVal, _xlfn.XLOOKUP(B3, $I$2:$I$27,_xlfn.ANCHORARRAY( $J$2)),
MOD(E2*31 + _xlpm.charVal,(10^9+7)))</f>
        <v>#VALUE!</v>
      </c>
      <c r="I3" t="str">
        <v>b</v>
      </c>
      <c r="J3">
        <v>2</v>
      </c>
      <c r="L3">
        <v>1</v>
      </c>
      <c r="M3">
        <f>MOD(31^L3,10^9+7)</f>
        <v>31</v>
      </c>
      <c r="R3">
        <v>1</v>
      </c>
      <c r="S3">
        <v>4</v>
      </c>
      <c r="T3">
        <v>0</v>
      </c>
      <c r="U3" t="e">
        <v>#VALUE!</v>
      </c>
      <c r="V3">
        <v>923521</v>
      </c>
      <c r="W3" t="e">
        <v>#VALUE!</v>
      </c>
      <c r="X3" t="e">
        <v>#VALUE!</v>
      </c>
    </row>
    <row r="4" spans="2:256" x14ac:dyDescent="0.25">
      <c r="B4" t="str">
        <v>e</v>
      </c>
      <c r="C4">
        <v>2</v>
      </c>
      <c r="D4">
        <v>5</v>
      </c>
      <c r="G4" cm="1">
        <f t="array" ref="G4">_xlfn.LET(
_xlpm.charVal, _xlfn.XLOOKUP(B4, $I$2:$I$27,_xlfn.ANCHORARRAY( $J$2)),
MOD(E3*31 + _xlpm.charVal,(10^9+7)))</f>
        <v>5</v>
      </c>
      <c r="I4" t="str">
        <v>c</v>
      </c>
      <c r="J4">
        <v>3</v>
      </c>
      <c r="L4">
        <v>2</v>
      </c>
      <c r="M4">
        <f>MOD(31^L4,10^9+7)</f>
        <v>961</v>
      </c>
      <c r="R4">
        <v>2</v>
      </c>
      <c r="S4">
        <v>5</v>
      </c>
      <c r="T4">
        <v>0</v>
      </c>
      <c r="U4">
        <v>0</v>
      </c>
      <c r="V4">
        <v>923521</v>
      </c>
      <c r="W4">
        <v>0</v>
      </c>
      <c r="X4" t="str">
        <v/>
      </c>
      <c r="IV4">
        <v>7</v>
      </c>
    </row>
    <row r="5" spans="2:256" x14ac:dyDescent="0.25">
      <c r="B5" t="str">
        <v>k</v>
      </c>
      <c r="C5">
        <v>3</v>
      </c>
      <c r="D5">
        <v>11</v>
      </c>
      <c r="G5" cm="1">
        <f t="array" ref="G5">_xlfn.LET(
_xlpm.charVal, _xlfn.XLOOKUP(B5, $I$2:$I$27,_xlfn.ANCHORARRAY( $J$2)),
MOD(E4*31 + _xlpm.charVal,(10^9+7)))</f>
        <v>11</v>
      </c>
      <c r="I5" t="str">
        <v>d</v>
      </c>
      <c r="J5">
        <v>4</v>
      </c>
      <c r="L5">
        <v>3</v>
      </c>
      <c r="M5">
        <f>MOD(31^L5,10^9+7)</f>
        <v>29791</v>
      </c>
      <c r="R5">
        <v>3</v>
      </c>
      <c r="S5">
        <v>6</v>
      </c>
      <c r="T5">
        <v>0</v>
      </c>
      <c r="U5">
        <v>0</v>
      </c>
      <c r="V5">
        <v>923521</v>
      </c>
      <c r="W5">
        <v>0</v>
      </c>
      <c r="X5" t="str">
        <v/>
      </c>
    </row>
    <row r="6" spans="2:256" x14ac:dyDescent="0.25">
      <c r="B6" t="str">
        <v>s</v>
      </c>
      <c r="C6">
        <v>4</v>
      </c>
      <c r="D6">
        <v>19</v>
      </c>
      <c r="I6" t="str">
        <v>e</v>
      </c>
      <c r="J6">
        <v>5</v>
      </c>
      <c r="L6">
        <v>4</v>
      </c>
      <c r="M6">
        <f>MOD(31^L6,10^9+7)</f>
        <v>923521</v>
      </c>
      <c r="R6">
        <v>4</v>
      </c>
      <c r="S6">
        <v>7</v>
      </c>
      <c r="T6">
        <v>0</v>
      </c>
      <c r="U6">
        <v>0</v>
      </c>
      <c r="V6">
        <v>923521</v>
      </c>
      <c r="W6">
        <v>0</v>
      </c>
      <c r="X6" t="str">
        <v/>
      </c>
    </row>
    <row r="7" spans="2:256" x14ac:dyDescent="0.25">
      <c r="B7" t="str">
        <v>f</v>
      </c>
      <c r="C7">
        <v>5</v>
      </c>
      <c r="D7">
        <v>6</v>
      </c>
      <c r="I7" t="str">
        <v>f</v>
      </c>
      <c r="J7">
        <v>6</v>
      </c>
      <c r="L7">
        <v>5</v>
      </c>
      <c r="M7">
        <f>MOD(31^L7,10^9+7)</f>
        <v>28629151</v>
      </c>
      <c r="R7">
        <v>5</v>
      </c>
      <c r="S7">
        <v>8</v>
      </c>
      <c r="T7">
        <v>0</v>
      </c>
      <c r="U7">
        <v>0</v>
      </c>
      <c r="V7">
        <v>923521</v>
      </c>
      <c r="W7">
        <v>0</v>
      </c>
      <c r="X7" t="str">
        <v/>
      </c>
    </row>
    <row r="8" spans="2:256" x14ac:dyDescent="0.25">
      <c r="B8" t="str">
        <v>o</v>
      </c>
      <c r="C8">
        <v>6</v>
      </c>
      <c r="D8">
        <v>15</v>
      </c>
      <c r="I8" t="str">
        <v>g</v>
      </c>
      <c r="J8">
        <v>7</v>
      </c>
      <c r="L8">
        <v>6</v>
      </c>
      <c r="M8">
        <f>MOD(31^L8,10^9+7)</f>
        <v>887503681</v>
      </c>
      <c r="R8">
        <v>6</v>
      </c>
      <c r="S8">
        <v>9</v>
      </c>
      <c r="T8">
        <v>0</v>
      </c>
      <c r="U8">
        <v>0</v>
      </c>
      <c r="V8">
        <v>923521</v>
      </c>
      <c r="W8">
        <v>0</v>
      </c>
      <c r="X8" t="str">
        <v/>
      </c>
    </row>
    <row r="9" spans="2:256" x14ac:dyDescent="0.25">
      <c r="B9" t="str">
        <v>r</v>
      </c>
      <c r="C9">
        <v>7</v>
      </c>
      <c r="D9">
        <v>18</v>
      </c>
      <c r="I9" t="str">
        <v>h</v>
      </c>
      <c r="J9">
        <v>8</v>
      </c>
      <c r="L9">
        <v>7</v>
      </c>
      <c r="M9">
        <f>MOD(31^L9,10^9+7)</f>
        <v>512613922</v>
      </c>
      <c r="R9">
        <v>7</v>
      </c>
      <c r="S9">
        <v>10</v>
      </c>
      <c r="T9">
        <v>0</v>
      </c>
      <c r="U9">
        <v>0</v>
      </c>
      <c r="V9">
        <v>923521</v>
      </c>
      <c r="W9">
        <v>0</v>
      </c>
      <c r="X9" t="str">
        <v/>
      </c>
    </row>
    <row r="10" spans="2:256" x14ac:dyDescent="0.25">
      <c r="B10" t="str">
        <v>g</v>
      </c>
      <c r="C10">
        <v>8</v>
      </c>
      <c r="D10">
        <v>7</v>
      </c>
      <c r="I10" t="str">
        <v>i</v>
      </c>
      <c r="J10">
        <v>9</v>
      </c>
      <c r="L10">
        <v>8</v>
      </c>
      <c r="M10">
        <f>MOD(31^L10,10^9+7)</f>
        <v>891031477</v>
      </c>
      <c r="R10">
        <v>8</v>
      </c>
      <c r="S10">
        <v>11</v>
      </c>
      <c r="T10">
        <v>0</v>
      </c>
      <c r="U10">
        <v>0</v>
      </c>
      <c r="V10">
        <v>923521</v>
      </c>
      <c r="W10">
        <v>0</v>
      </c>
      <c r="X10" t="str">
        <v/>
      </c>
    </row>
    <row r="11" spans="2:256" x14ac:dyDescent="0.25">
      <c r="B11" t="str">
        <v>e</v>
      </c>
      <c r="C11">
        <v>9</v>
      </c>
      <c r="D11">
        <v>5</v>
      </c>
      <c r="I11" t="str">
        <v>j</v>
      </c>
      <c r="J11">
        <v>10</v>
      </c>
      <c r="L11">
        <v>9</v>
      </c>
      <c r="M11">
        <f>MOD(31^L11,10^9+7)</f>
        <v>621975598</v>
      </c>
      <c r="R11">
        <v>9</v>
      </c>
      <c r="S11">
        <v>12</v>
      </c>
      <c r="T11">
        <v>0</v>
      </c>
      <c r="U11">
        <v>0</v>
      </c>
      <c r="V11">
        <v>923521</v>
      </c>
      <c r="W11">
        <v>0</v>
      </c>
      <c r="X11" t="str">
        <v/>
      </c>
    </row>
    <row r="12" spans="2:256" x14ac:dyDescent="0.25">
      <c r="B12" t="str">
        <v>e</v>
      </c>
      <c r="C12">
        <v>10</v>
      </c>
      <c r="D12">
        <v>5</v>
      </c>
      <c r="I12" t="str">
        <v>k</v>
      </c>
      <c r="J12">
        <v>11</v>
      </c>
      <c r="L12">
        <v>10</v>
      </c>
      <c r="M12">
        <f>MOD(31^L12,10^9+7)</f>
        <v>281243405</v>
      </c>
    </row>
    <row r="13" spans="2:256" x14ac:dyDescent="0.25">
      <c r="B13" t="str">
        <v>k</v>
      </c>
      <c r="C13">
        <v>11</v>
      </c>
      <c r="D13">
        <v>11</v>
      </c>
      <c r="I13" t="str">
        <v>l</v>
      </c>
      <c r="J13">
        <v>12</v>
      </c>
      <c r="L13">
        <v>11</v>
      </c>
      <c r="M13">
        <f>MOD(31^L13,10^9+7)</f>
        <v>718545500</v>
      </c>
    </row>
    <row r="14" spans="2:256" x14ac:dyDescent="0.25">
      <c r="B14" t="str">
        <v>s</v>
      </c>
      <c r="C14">
        <v>12</v>
      </c>
      <c r="D14">
        <v>19</v>
      </c>
      <c r="I14" t="str">
        <v>m</v>
      </c>
      <c r="J14">
        <v>13</v>
      </c>
      <c r="L14">
        <v>12</v>
      </c>
      <c r="M14">
        <f>MOD(31^L14,10^9+7)</f>
        <v>274910314</v>
      </c>
    </row>
    <row r="15" spans="2:256" x14ac:dyDescent="0.25">
      <c r="I15" t="str">
        <v>n</v>
      </c>
      <c r="J15">
        <v>14</v>
      </c>
    </row>
    <row r="16" spans="2:256" x14ac:dyDescent="0.25">
      <c r="I16" t="str">
        <v>o</v>
      </c>
      <c r="J16">
        <v>15</v>
      </c>
    </row>
    <row r="17" spans="2:10" x14ac:dyDescent="0.25">
      <c r="I17" t="str">
        <v>p</v>
      </c>
      <c r="J17">
        <v>16</v>
      </c>
    </row>
    <row r="18" spans="2:10" x14ac:dyDescent="0.25">
      <c r="I18" t="str">
        <v>q</v>
      </c>
      <c r="J18">
        <v>17</v>
      </c>
    </row>
    <row r="19" spans="2:10" x14ac:dyDescent="0.25">
      <c r="I19" t="str">
        <v>r</v>
      </c>
      <c r="J19">
        <v>18</v>
      </c>
    </row>
    <row r="20" spans="2:10" x14ac:dyDescent="0.25">
      <c r="B20" t="s">
        <v>17</v>
      </c>
      <c r="I20" t="str">
        <v>s</v>
      </c>
      <c r="J20">
        <v>19</v>
      </c>
    </row>
    <row r="21" spans="2:10" x14ac:dyDescent="0.25">
      <c r="B21" t="s">
        <v>18</v>
      </c>
      <c r="I21" t="str">
        <v>t</v>
      </c>
      <c r="J21">
        <v>20</v>
      </c>
    </row>
    <row r="22" spans="2:10" x14ac:dyDescent="0.25">
      <c r="I22" t="str">
        <v>u</v>
      </c>
      <c r="J22">
        <v>21</v>
      </c>
    </row>
    <row r="23" spans="2:10" x14ac:dyDescent="0.25">
      <c r="I23" t="str">
        <v>v</v>
      </c>
      <c r="J23">
        <v>22</v>
      </c>
    </row>
    <row r="24" spans="2:10" x14ac:dyDescent="0.25">
      <c r="I24" t="str">
        <v>w</v>
      </c>
      <c r="J24">
        <v>23</v>
      </c>
    </row>
    <row r="25" spans="2:10" x14ac:dyDescent="0.25">
      <c r="I25" t="str">
        <v>x</v>
      </c>
      <c r="J25">
        <v>24</v>
      </c>
    </row>
    <row r="26" spans="2:10" x14ac:dyDescent="0.25">
      <c r="I26" t="str">
        <v>y</v>
      </c>
      <c r="J26">
        <v>25</v>
      </c>
    </row>
    <row r="27" spans="2:10" x14ac:dyDescent="0.25">
      <c r="I27" t="str">
        <v>z</v>
      </c>
      <c r="J27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SUNY Geneseo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Gieselman</dc:creator>
  <cp:lastModifiedBy>Chris Gieselman</cp:lastModifiedBy>
  <dcterms:created xsi:type="dcterms:W3CDTF">2025-10-03T02:14:16Z</dcterms:created>
  <dcterms:modified xsi:type="dcterms:W3CDTF">2025-10-03T04:32:23Z</dcterms:modified>
</cp:coreProperties>
</file>